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sofy2\Downloads\"/>
    </mc:Choice>
  </mc:AlternateContent>
  <xr:revisionPtr revIDLastSave="18" documentId="8_{98CE85C1-09CA-40B0-9569-32BF3B4D27D0}" xr6:coauthVersionLast="47" xr6:coauthVersionMax="47" xr10:uidLastSave="{980F5175-E088-4DC6-A6A4-600B794B0B5C}"/>
  <bookViews>
    <workbookView xWindow="-110" yWindow="-110" windowWidth="19420" windowHeight="10300" xr2:uid="{35CE32AE-13F0-41BE-A3AC-8CD0937E96FD}"/>
  </bookViews>
  <sheets>
    <sheet name="Sheet1" sheetId="1" r:id="rId1"/>
  </sheets>
  <externalReferences>
    <externalReference r:id="rId2"/>
  </externalReferences>
  <definedNames>
    <definedName name="Áreas" localSheetId="0">[1]Configuración!$E$4:$E$10</definedName>
    <definedName name="Categorías">[1]Configuración!$A$4:$A$13</definedName>
    <definedName name="ColoresLugarCompra">[1]Configuración!$M$4:$M$7</definedName>
    <definedName name="Competencia">[1]Configuración!$C$4:$C$6</definedName>
    <definedName name="Estado">[1]Configuración!$K$4:$K$5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22" i="1"/>
  <c r="D21" i="1"/>
  <c r="D20" i="1"/>
  <c r="D19" i="1"/>
  <c r="D3" i="1"/>
  <c r="D4" i="1"/>
  <c r="D5" i="1"/>
  <c r="D6" i="1"/>
  <c r="D18" i="1"/>
  <c r="D2" i="1"/>
  <c r="D27" i="1" l="1"/>
</calcChain>
</file>

<file path=xl/sharedStrings.xml><?xml version="1.0" encoding="utf-8"?>
<sst xmlns="http://schemas.openxmlformats.org/spreadsheetml/2006/main" count="22" uniqueCount="22">
  <si>
    <t>Descripción</t>
  </si>
  <si>
    <t>Valor Unitario MXN</t>
  </si>
  <si>
    <t>Cantidad</t>
  </si>
  <si>
    <t>Valor Total MXN</t>
  </si>
  <si>
    <t xml:space="preserve">LINK </t>
  </si>
  <si>
    <t>Batería Lipo 3.7v</t>
  </si>
  <si>
    <t>Regulador Booster Arduino Mt3608 Dc A Dc</t>
  </si>
  <si>
    <t>Super Pila Portatil Recargable Accesorio Montable Tiras Led</t>
  </si>
  <si>
    <t>Servicio de Impresión</t>
  </si>
  <si>
    <t>*hasta el 22 de febrero iban 1570</t>
  </si>
  <si>
    <t>Módulo Tp4056</t>
  </si>
  <si>
    <t>Llantas</t>
  </si>
  <si>
    <t>motores</t>
  </si>
  <si>
    <t>Envios</t>
  </si>
  <si>
    <t>Tornillo galvanizado</t>
  </si>
  <si>
    <t>Base Shield Esp32</t>
  </si>
  <si>
    <t>Cinta nano doble cara</t>
  </si>
  <si>
    <t>Separadores de latón M3 10mm</t>
  </si>
  <si>
    <t>Separadores de latón M3 30mm</t>
  </si>
  <si>
    <t>Tuerca M3</t>
  </si>
  <si>
    <t>Driver Drv8833 Puente 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</si>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</sst>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Bahnschrift"/>
      <family val="2"/>
    </font>
    <font>
      <sz val="10"/>
      <color rgb="FF000000"/>
      <name val="Bahnschrift"/>
      <family val="2"/>
    </font>
    <font>
      <sz val="10"/>
      <color theme="1"/>
      <name val="Aptos Narrow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u/>
      <sz val="10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164" fontId="3" fillId="0" borderId="2" xfId="0" applyNumberFormat="1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anledu.sharepoint.com/sites/AXIOSAERODESIGN/Shared%20Documents/Administraci&#243;n/2024-2025/Leads/Lista_de_compras_SAE_2024-2025.xlsx" TargetMode="External"/><Relationship Id="rId1" Type="http://schemas.openxmlformats.org/officeDocument/2006/relationships/externalLinkPath" Target="https://uanledu.sharepoint.com/sites/AXIOSAERODESIGN/Shared%20Documents/Administraci&#243;n/2024-2025/Leads/Lista_de_compras_SAE_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compras"/>
      <sheetName val="Sheet1"/>
      <sheetName val="Curvas"/>
      <sheetName val="Configuració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289D-CD1D-43EB-B281-37B66870B2FA}">
  <dimension ref="A1:XEE27"/>
  <sheetViews>
    <sheetView tabSelected="1" topLeftCell="A7" zoomScale="106" workbookViewId="0">
      <selection activeCell="C17" sqref="C17"/>
    </sheetView>
  </sheetViews>
  <sheetFormatPr defaultColWidth="8.7109375" defaultRowHeight="12.95"/>
  <cols>
    <col min="1" max="1" width="35.85546875" style="2" customWidth="1"/>
    <col min="2" max="2" width="16.5703125" style="2" bestFit="1" customWidth="1"/>
    <col min="3" max="3" width="14.140625" style="2" bestFit="1" customWidth="1"/>
    <col min="4" max="4" width="20.5703125" style="2" bestFit="1" customWidth="1"/>
    <col min="5" max="5" width="8" style="2" bestFit="1" customWidth="1"/>
    <col min="6" max="6" width="3" style="2" bestFit="1" customWidth="1"/>
    <col min="7" max="7" width="25.42578125" style="2" bestFit="1" customWidth="1"/>
    <col min="8" max="8" width="13.85546875" style="2" bestFit="1" customWidth="1"/>
    <col min="9" max="9" width="216.85546875" style="2" bestFit="1" customWidth="1"/>
    <col min="10" max="10" width="3" style="2" bestFit="1" customWidth="1"/>
    <col min="11" max="11" width="14.140625" style="2" bestFit="1" customWidth="1"/>
    <col min="12" max="12" width="3" style="2" bestFit="1" customWidth="1"/>
    <col min="13" max="13" width="5.42578125" style="2" bestFit="1" customWidth="1"/>
    <col min="14" max="16384" width="8.7109375" style="2"/>
  </cols>
  <sheetData>
    <row r="1" spans="1:16359">
      <c r="A1" s="8" t="s">
        <v>0</v>
      </c>
      <c r="B1" s="8" t="s">
        <v>1</v>
      </c>
      <c r="C1" s="9" t="s">
        <v>2</v>
      </c>
      <c r="D1" s="10" t="s">
        <v>3</v>
      </c>
      <c r="E1" s="9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</row>
    <row r="2" spans="1:16359">
      <c r="A2" s="11" t="s">
        <v>5</v>
      </c>
      <c r="B2" s="3">
        <v>117.65</v>
      </c>
      <c r="C2" s="6">
        <v>1</v>
      </c>
      <c r="D2" s="4">
        <f>C2*B2</f>
        <v>117.65</v>
      </c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</row>
    <row r="3" spans="1:16359" ht="24.95">
      <c r="A3" s="11" t="s">
        <v>6</v>
      </c>
      <c r="B3" s="3">
        <v>50.15</v>
      </c>
      <c r="C3" s="6">
        <v>2</v>
      </c>
      <c r="D3" s="4">
        <f t="shared" ref="D3:D17" si="0">C3*B3</f>
        <v>100.3</v>
      </c>
    </row>
    <row r="4" spans="1:16359" ht="24.95">
      <c r="A4" s="11" t="s">
        <v>7</v>
      </c>
      <c r="B4" s="3">
        <v>152</v>
      </c>
      <c r="C4" s="6">
        <v>1</v>
      </c>
      <c r="D4" s="4">
        <f t="shared" si="0"/>
        <v>152</v>
      </c>
    </row>
    <row r="5" spans="1:16359">
      <c r="A5" s="11" t="s">
        <v>8</v>
      </c>
      <c r="B5" s="3">
        <v>605</v>
      </c>
      <c r="C5" s="6">
        <v>1</v>
      </c>
      <c r="D5" s="4">
        <f t="shared" si="0"/>
        <v>605</v>
      </c>
      <c r="G5" s="2" t="s">
        <v>9</v>
      </c>
    </row>
    <row r="6" spans="1:16359">
      <c r="A6" s="11" t="s">
        <v>10</v>
      </c>
      <c r="B6" s="3"/>
      <c r="C6" s="6">
        <v>2</v>
      </c>
      <c r="D6" s="4">
        <f t="shared" si="0"/>
        <v>0</v>
      </c>
    </row>
    <row r="7" spans="1:16359" ht="13.5">
      <c r="A7" s="11" t="s">
        <v>11</v>
      </c>
      <c r="B7" s="3"/>
      <c r="C7" s="6"/>
      <c r="D7" s="4">
        <f t="shared" si="0"/>
        <v>0</v>
      </c>
    </row>
    <row r="8" spans="1:16359" ht="13.5">
      <c r="A8" s="11" t="s">
        <v>12</v>
      </c>
      <c r="B8" s="3"/>
      <c r="C8" s="6"/>
      <c r="D8" s="4">
        <f t="shared" si="0"/>
        <v>0</v>
      </c>
    </row>
    <row r="9" spans="1:16359" ht="13.5">
      <c r="A9" s="11" t="s">
        <v>13</v>
      </c>
      <c r="B9" s="3">
        <v>321</v>
      </c>
      <c r="C9" s="6">
        <v>1</v>
      </c>
      <c r="D9" s="4">
        <f t="shared" si="0"/>
        <v>321</v>
      </c>
    </row>
    <row r="10" spans="1:16359" ht="13.5">
      <c r="A10" s="11"/>
      <c r="B10" s="3"/>
      <c r="C10" s="6"/>
      <c r="D10" s="4">
        <f t="shared" si="0"/>
        <v>0</v>
      </c>
    </row>
    <row r="11" spans="1:16359" ht="13.5">
      <c r="A11" s="11"/>
      <c r="B11" s="3"/>
      <c r="C11" s="6"/>
      <c r="D11" s="4">
        <f t="shared" si="0"/>
        <v>0</v>
      </c>
    </row>
    <row r="12" spans="1:16359" ht="13.5">
      <c r="A12" s="11"/>
      <c r="B12" s="3"/>
      <c r="C12" s="6"/>
      <c r="D12" s="4">
        <f t="shared" si="0"/>
        <v>0</v>
      </c>
    </row>
    <row r="13" spans="1:16359" ht="13.5">
      <c r="A13" s="11"/>
      <c r="B13" s="3"/>
      <c r="C13" s="6"/>
      <c r="D13" s="4">
        <f t="shared" si="0"/>
        <v>0</v>
      </c>
    </row>
    <row r="14" spans="1:16359" ht="13.5">
      <c r="A14" s="11"/>
      <c r="B14" s="3"/>
      <c r="C14" s="6"/>
      <c r="D14" s="4">
        <f t="shared" si="0"/>
        <v>0</v>
      </c>
    </row>
    <row r="15" spans="1:16359" ht="13.5">
      <c r="A15" s="11"/>
      <c r="B15" s="3"/>
      <c r="C15" s="6"/>
      <c r="D15" s="4">
        <f t="shared" si="0"/>
        <v>0</v>
      </c>
    </row>
    <row r="16" spans="1:16359" ht="13.5">
      <c r="A16" s="11"/>
      <c r="B16" s="3"/>
      <c r="C16" s="6"/>
      <c r="D16" s="4">
        <f t="shared" si="0"/>
        <v>0</v>
      </c>
    </row>
    <row r="17" spans="1:4" ht="13.5">
      <c r="A17" s="11" t="s">
        <v>14</v>
      </c>
      <c r="B17" s="3">
        <v>1.5</v>
      </c>
      <c r="C17" s="6">
        <v>8</v>
      </c>
      <c r="D17" s="4">
        <f t="shared" si="0"/>
        <v>12</v>
      </c>
    </row>
    <row r="18" spans="1:4" ht="13.5">
      <c r="A18" s="11" t="s">
        <v>15</v>
      </c>
      <c r="B18" s="3">
        <v>69.3</v>
      </c>
      <c r="C18" s="6">
        <v>3</v>
      </c>
      <c r="D18" s="4">
        <f>C18*B18</f>
        <v>207.89999999999998</v>
      </c>
    </row>
    <row r="19" spans="1:4" ht="13.5">
      <c r="A19" s="11" t="s">
        <v>16</v>
      </c>
      <c r="B19" s="3">
        <v>79</v>
      </c>
      <c r="C19" s="6">
        <v>12</v>
      </c>
      <c r="D19" s="4">
        <f>C19*B19</f>
        <v>948</v>
      </c>
    </row>
    <row r="20" spans="1:4" ht="13.5">
      <c r="A20" s="11" t="s">
        <v>17</v>
      </c>
      <c r="B20" s="3">
        <v>28</v>
      </c>
      <c r="C20" s="6">
        <v>14</v>
      </c>
      <c r="D20" s="4">
        <f>C20*B20</f>
        <v>392</v>
      </c>
    </row>
    <row r="21" spans="1:4" ht="13.5">
      <c r="A21" s="11" t="s">
        <v>18</v>
      </c>
      <c r="B21" s="3">
        <v>99.12</v>
      </c>
      <c r="C21" s="6">
        <v>1</v>
      </c>
      <c r="D21" s="4">
        <f>C21*B21</f>
        <v>99.12</v>
      </c>
    </row>
    <row r="22" spans="1:4" ht="13.5">
      <c r="A22" s="11" t="s">
        <v>19</v>
      </c>
      <c r="B22" s="3">
        <v>1</v>
      </c>
      <c r="C22" s="6">
        <v>8</v>
      </c>
      <c r="D22" s="4">
        <f>C22*B22</f>
        <v>8</v>
      </c>
    </row>
    <row r="23" spans="1:4" ht="13.5">
      <c r="A23" s="11" t="s">
        <v>20</v>
      </c>
      <c r="B23" s="3"/>
      <c r="C23" s="6">
        <v>4</v>
      </c>
      <c r="D23" s="4"/>
    </row>
    <row r="24" spans="1:4" ht="13.5">
      <c r="A24" s="1"/>
      <c r="B24" s="3"/>
      <c r="C24" s="6"/>
      <c r="D24" s="4"/>
    </row>
    <row r="25" spans="1:4" ht="13.5">
      <c r="A25" s="1"/>
      <c r="B25" s="3"/>
      <c r="C25" s="6"/>
      <c r="D25" s="4"/>
    </row>
    <row r="26" spans="1:4" ht="13.5">
      <c r="A26" s="1"/>
      <c r="B26" s="3"/>
      <c r="C26" s="6"/>
      <c r="D26" s="4"/>
    </row>
    <row r="27" spans="1:4" ht="13.5">
      <c r="A27" s="1"/>
      <c r="C27" s="12" t="s">
        <v>21</v>
      </c>
      <c r="D27" s="13">
        <f>SUM(D2:D26)</f>
        <v>2962.97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e762b9-180d-4f39-bf15-8ff6ee5855a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307E2F3EDDB49B3EEB15A7233C076" ma:contentTypeVersion="10" ma:contentTypeDescription="Create a new document." ma:contentTypeScope="" ma:versionID="c8ba97f1420310b51bec1ede7172d522">
  <xsd:schema xmlns:xsd="http://www.w3.org/2001/XMLSchema" xmlns:xs="http://www.w3.org/2001/XMLSchema" xmlns:p="http://schemas.microsoft.com/office/2006/metadata/properties" xmlns:ns2="28e762b9-180d-4f39-bf15-8ff6ee5855a8" targetNamespace="http://schemas.microsoft.com/office/2006/metadata/properties" ma:root="true" ma:fieldsID="7d479b1c0a91e17d77923bc1d2c3a785" ns2:_="">
    <xsd:import namespace="28e762b9-180d-4f39-bf15-8ff6ee585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762b9-180d-4f39-bf15-8ff6ee585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FD9B4C-AE19-498B-9F63-CC511B779EB8}"/>
</file>

<file path=customXml/itemProps2.xml><?xml version="1.0" encoding="utf-8"?>
<ds:datastoreItem xmlns:ds="http://schemas.openxmlformats.org/officeDocument/2006/customXml" ds:itemID="{6E3912D5-B9A5-40E8-8F1F-3C334EDE83BF}"/>
</file>

<file path=customXml/itemProps3.xml><?xml version="1.0" encoding="utf-8"?>
<ds:datastoreItem xmlns:ds="http://schemas.openxmlformats.org/officeDocument/2006/customXml" ds:itemID="{E0BF1912-BBA1-4BF4-AFD3-0302C2411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SOFIA MOYA TOBIAS</dc:creator>
  <cp:keywords/>
  <dc:description/>
  <cp:lastModifiedBy>PATRICIA SOFIA MOYA TOBIAS</cp:lastModifiedBy>
  <cp:revision/>
  <dcterms:created xsi:type="dcterms:W3CDTF">2025-03-08T23:57:28Z</dcterms:created>
  <dcterms:modified xsi:type="dcterms:W3CDTF">2025-03-09T00:36:04Z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0x010100C3D307E2F3EDDB49B3EEB15A7233C076</vt:lpwstr>
  </property>
  <property fmtid="{D5CDD505-2E9C-101B-9397-08002B2CF9AE}" pid="3" name="MediaServiceImageTags">
    <vt:lpwstr/>
  </property>
</Properties>
</file>